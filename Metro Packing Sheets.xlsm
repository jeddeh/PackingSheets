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208" yWindow="1368" windowWidth="10140" windowHeight="6552" tabRatio="717"/>
  </bookViews>
  <sheets>
    <sheet name="Job Sheets" sheetId="29" r:id="rId1"/>
    <sheet name="Adjustments" sheetId="28" r:id="rId2"/>
    <sheet name="Quattro" sheetId="23" r:id="rId3"/>
  </sheets>
  <functionGroups builtInGroupCount="17"/>
  <definedNames>
    <definedName name="BundleSize">Quattro!$B$7</definedName>
    <definedName name="Comments">Quattro!$B$2</definedName>
    <definedName name="JobId">Quattro!$B$3</definedName>
    <definedName name="JobName">Quattro!$B$4</definedName>
    <definedName name="PalletSize">Quattro!$B$5</definedName>
    <definedName name="Report">Quattro!$B$1</definedName>
    <definedName name="RowSize">Quattro!$B$6</definedName>
  </definedNames>
  <calcPr calcId="145621"/>
</workbook>
</file>

<file path=xl/calcChain.xml><?xml version="1.0" encoding="utf-8"?>
<calcChain xmlns="http://schemas.openxmlformats.org/spreadsheetml/2006/main">
  <c r="L6" i="28" l="1"/>
  <c r="L7" i="28"/>
  <c r="L8" i="28"/>
  <c r="L9" i="28"/>
  <c r="L10" i="28"/>
  <c r="L11" i="28"/>
  <c r="L12" i="28"/>
  <c r="L13" i="28"/>
  <c r="L14" i="28"/>
  <c r="L15" i="28"/>
  <c r="L16" i="28"/>
  <c r="L17" i="28"/>
  <c r="L18" i="28"/>
  <c r="L19" i="28"/>
  <c r="L20" i="28"/>
  <c r="K6" i="28"/>
  <c r="K7" i="28"/>
  <c r="K8" i="28"/>
  <c r="K9" i="28"/>
  <c r="K10" i="28"/>
  <c r="K11" i="28"/>
  <c r="K12" i="28"/>
  <c r="K13" i="28"/>
  <c r="K14" i="28"/>
  <c r="K15" i="28"/>
  <c r="K16" i="28"/>
  <c r="K17" i="28"/>
  <c r="K18" i="28"/>
  <c r="K19" i="28"/>
  <c r="K20" i="28"/>
</calcChain>
</file>

<file path=xl/sharedStrings.xml><?xml version="1.0" encoding="utf-8"?>
<sst xmlns="http://schemas.openxmlformats.org/spreadsheetml/2006/main" count="93" uniqueCount="61">
  <si>
    <t>Quantity</t>
  </si>
  <si>
    <t>JOB ID</t>
  </si>
  <si>
    <t>JOB NAME</t>
  </si>
  <si>
    <t>PALLET SIZE</t>
  </si>
  <si>
    <t>ROW SIZE</t>
  </si>
  <si>
    <t>BUNDLE SIZE</t>
  </si>
  <si>
    <t>Run</t>
  </si>
  <si>
    <t>Pallets</t>
  </si>
  <si>
    <t>Rows</t>
  </si>
  <si>
    <t>Bundles</t>
  </si>
  <si>
    <t>Total Bundles</t>
  </si>
  <si>
    <t>COMMENTS</t>
  </si>
  <si>
    <t>REPORT</t>
  </si>
  <si>
    <t>Items</t>
  </si>
  <si>
    <t>Carrier Run Job Differences</t>
  </si>
  <si>
    <t>Job Id</t>
  </si>
  <si>
    <t>Job Name</t>
  </si>
  <si>
    <t>Bun Size</t>
  </si>
  <si>
    <t>Old Qty</t>
  </si>
  <si>
    <t>New Qty</t>
  </si>
  <si>
    <t>New Plt</t>
  </si>
  <si>
    <t>New Bun</t>
  </si>
  <si>
    <t>New Item</t>
  </si>
  <si>
    <t>Qty Change</t>
  </si>
  <si>
    <t>Bundles Change</t>
  </si>
  <si>
    <t>250</t>
  </si>
  <si>
    <t>200</t>
  </si>
  <si>
    <t>500</t>
  </si>
  <si>
    <t>150</t>
  </si>
  <si>
    <t>300</t>
  </si>
  <si>
    <t>S001</t>
  </si>
  <si>
    <t>S004</t>
  </si>
  <si>
    <t>S013</t>
  </si>
  <si>
    <t>S015</t>
  </si>
  <si>
    <t>S016</t>
  </si>
  <si>
    <t>S018</t>
  </si>
  <si>
    <t>S019</t>
  </si>
  <si>
    <t>S021</t>
  </si>
  <si>
    <t>S050</t>
  </si>
  <si>
    <t>S099</t>
  </si>
  <si>
    <t>1099902</t>
  </si>
  <si>
    <t>RIVERS CATALOGUE #3 - HOUSES ONLY</t>
  </si>
  <si>
    <t>S020</t>
  </si>
  <si>
    <t>1195085</t>
  </si>
  <si>
    <t>PIZZA HUT EASTWOOD NEW OWNRSHIP P* W5/8</t>
  </si>
  <si>
    <t>1207722</t>
  </si>
  <si>
    <t>WINNING APPLIANCES</t>
  </si>
  <si>
    <t>1207728</t>
  </si>
  <si>
    <t>ALDI ALCOHOL NSW/ACT (PRE) OS 11/03 WK11</t>
  </si>
  <si>
    <t>1210794</t>
  </si>
  <si>
    <t>ESR W1/2 (HOUSE LOGO) BEAT THE PRICE</t>
  </si>
  <si>
    <t>Overprint</t>
  </si>
  <si>
    <t>BOB JANE MARCH W2/3</t>
  </si>
  <si>
    <t>BOB JANE - COMMON STATE VERSION</t>
  </si>
  <si>
    <t>1205568</t>
  </si>
  <si>
    <t>1211557</t>
  </si>
  <si>
    <t>SIGMA SAVINGS MARCH</t>
  </si>
  <si>
    <t>TRIPLE S - PARKLEA CHEMIST</t>
  </si>
  <si>
    <t>First Generation for Run Date 6/03/2015. Report Run 8/03/2015 9:23:21 PM.</t>
  </si>
  <si>
    <t>Final Generation for Run Date 6/03/2015. Report Run 8/03/2015 9:23:21 PM.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</si>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</sst>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0.0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5"/>
      <name val="Arial"/>
      <family val="2"/>
    </font>
    <font>
      <b/>
      <sz val="15"/>
      <color theme="1"/>
      <name val="Arial"/>
      <family val="2"/>
    </font>
    <font>
      <sz val="15"/>
      <color theme="1"/>
      <name val="Arial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</borders>
  <cellStyleXfs count="3">
    <xf numFmtId="0" fontId="0" fillId="0" borderId="0"/>
    <xf numFmtId="0" fontId="1" fillId="0" borderId="0"/>
    <xf numFmtId="43" fontId="2" fillId="0" borderId="0" applyFont="0" applyFill="0" applyBorder="0" applyAlignment="0" applyProtection="0"/>
  </cellStyleXfs>
  <cellXfs count="27">
    <xf numFmtId="0" fontId="0" fillId="0" borderId="0" xfId="0"/>
    <xf numFmtId="49" fontId="0" fillId="0" borderId="2" xfId="0" applyNumberFormat="1" applyBorder="1" applyProtection="1">
      <protection locked="0"/>
    </xf>
    <xf numFmtId="0" fontId="0" fillId="0" borderId="2" xfId="0" applyBorder="1" applyProtection="1">
      <protection locked="0"/>
    </xf>
    <xf numFmtId="0" fontId="0" fillId="0" borderId="1" xfId="0" applyBorder="1" applyProtection="1"/>
    <xf numFmtId="49" fontId="0" fillId="0" borderId="2" xfId="0" applyNumberFormat="1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3" fillId="0" borderId="0" xfId="0" applyFont="1" applyBorder="1" applyAlignment="1" applyProtection="1">
      <alignment vertical="center"/>
    </xf>
    <xf numFmtId="0" fontId="3" fillId="0" borderId="0" xfId="0" applyFont="1" applyFill="1" applyProtection="1"/>
    <xf numFmtId="49" fontId="4" fillId="2" borderId="0" xfId="0" applyNumberFormat="1" applyFont="1" applyFill="1" applyBorder="1" applyAlignment="1" applyProtection="1">
      <alignment horizontal="center" vertical="center"/>
    </xf>
    <xf numFmtId="1" fontId="4" fillId="2" borderId="5" xfId="0" applyNumberFormat="1" applyFont="1" applyFill="1" applyBorder="1" applyAlignment="1" applyProtection="1">
      <alignment horizontal="center" vertical="center"/>
    </xf>
    <xf numFmtId="164" fontId="4" fillId="2" borderId="5" xfId="0" applyNumberFormat="1" applyFont="1" applyFill="1" applyBorder="1" applyAlignment="1" applyProtection="1">
      <alignment horizontal="center" vertical="center"/>
    </xf>
    <xf numFmtId="3" fontId="4" fillId="2" borderId="5" xfId="2" applyNumberFormat="1" applyFont="1" applyFill="1" applyBorder="1" applyAlignment="1" applyProtection="1">
      <alignment horizontal="center" vertical="center"/>
    </xf>
    <xf numFmtId="3" fontId="4" fillId="2" borderId="5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 applyProtection="1">
      <alignment horizontal="center" vertical="center"/>
    </xf>
    <xf numFmtId="3" fontId="5" fillId="3" borderId="6" xfId="2" applyNumberFormat="1" applyFont="1" applyFill="1" applyBorder="1" applyAlignment="1" applyProtection="1">
      <alignment vertical="center"/>
    </xf>
    <xf numFmtId="2" fontId="0" fillId="0" borderId="2" xfId="0" applyNumberFormat="1" applyBorder="1" applyAlignment="1" applyProtection="1">
      <alignment horizontal="right"/>
      <protection locked="0"/>
    </xf>
    <xf numFmtId="1" fontId="5" fillId="3" borderId="6" xfId="2" applyNumberFormat="1" applyFont="1" applyFill="1" applyBorder="1" applyAlignment="1" applyProtection="1">
      <alignment vertical="center"/>
    </xf>
    <xf numFmtId="49" fontId="5" fillId="3" borderId="6" xfId="0" applyNumberFormat="1" applyFont="1" applyFill="1" applyBorder="1" applyAlignment="1" applyProtection="1">
      <alignment vertical="center"/>
    </xf>
    <xf numFmtId="1" fontId="5" fillId="3" borderId="6" xfId="0" applyNumberFormat="1" applyFont="1" applyFill="1" applyBorder="1" applyAlignment="1" applyProtection="1">
      <alignment vertical="center"/>
    </xf>
    <xf numFmtId="3" fontId="5" fillId="3" borderId="8" xfId="2" applyNumberFormat="1" applyFont="1" applyFill="1" applyBorder="1" applyAlignment="1" applyProtection="1">
      <alignment vertical="center"/>
    </xf>
    <xf numFmtId="1" fontId="5" fillId="3" borderId="7" xfId="0" applyNumberFormat="1" applyFont="1" applyFill="1" applyBorder="1" applyAlignment="1" applyProtection="1">
      <alignment vertical="center"/>
    </xf>
    <xf numFmtId="0" fontId="6" fillId="0" borderId="0" xfId="0" applyFont="1"/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</cellXfs>
  <cellStyles count="3">
    <cellStyle name="Comma" xfId="2" builtinId="3"/>
    <cellStyle name="Normal" xfId="0" builtinId="0"/>
    <cellStyle name="Normal 2 2" xfId="1"/>
  </cellStyles>
  <dxfs count="39">
    <dxf>
      <numFmt numFmtId="164" formatCode="0.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bgColor theme="0" tint="-0.24994659260841701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0.24994659260841701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numFmt numFmtId="3" formatCode="#,##0"/>
      <fill>
        <patternFill patternType="solid">
          <fgColor indexed="64"/>
          <bgColor indexed="2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numFmt numFmtId="3" formatCode="#,##0"/>
      <border outline="0">
        <left/>
        <right style="thin">
          <color indexed="64"/>
        </right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numFmt numFmtId="1" formatCode="0"/>
      <border outline="0">
        <left style="thin">
          <color indexed="64"/>
        </left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numFmt numFmtId="1" formatCode="0"/>
      <border outline="0">
        <left/>
        <right style="thin">
          <color indexed="64"/>
        </right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numFmt numFmtId="1" formatCode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numFmt numFmtId="1" formatCode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numFmt numFmtId="30" formatCode="@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numFmt numFmtId="3" formatCode="#,##0"/>
      <fill>
        <patternFill patternType="solid">
          <fgColor indexed="64"/>
          <bgColor indexed="2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numFmt numFmtId="3" formatCode="#,##0"/>
      <border diagonalUp="0" diagonalDown="0" outline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numFmt numFmtId="1" formatCode="0"/>
      <border diagonalUp="0" diagonalDown="0" outline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numFmt numFmtId="1" formatCode="0"/>
      <border diagonalUp="0" diagonalDown="0" outline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numFmt numFmtId="1" formatCode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numFmt numFmtId="30" formatCode="@"/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/>
        </top>
      </border>
    </dxf>
    <dxf>
      <font>
        <b/>
        <color theme="1"/>
      </font>
      <border>
        <bottom style="thin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/>
        <i val="0"/>
        <u/>
        <color theme="1" tint="0.14996795556505021"/>
      </font>
      <border>
        <bottom style="thin">
          <color auto="1"/>
        </bottom>
      </border>
    </dxf>
    <dxf>
      <font>
        <b/>
        <i val="0"/>
        <color theme="1" tint="0.24994659260841701"/>
      </font>
      <fill>
        <patternFill>
          <bgColor theme="0" tint="-4.9989318521683403E-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3" defaultTableStyle="TableStyleMedium9" defaultPivotStyle="PivotStyleLight16">
    <tableStyle name="ChepTable" pivot="0" count="2">
      <tableStyleElement type="wholeTable" dxfId="38"/>
      <tableStyleElement type="headerRow" dxfId="37"/>
    </tableStyle>
    <tableStyle name="Table Style 1" pivot="0" count="0"/>
    <tableStyle name="TableStyleLight1 2" pivot="0" count="7">
      <tableStyleElement type="wholeTable" dxfId="36"/>
      <tableStyleElement type="headerRow" dxfId="35"/>
      <tableStyleElement type="totalRow" dxfId="34"/>
      <tableStyleElement type="firstColumn" dxfId="33"/>
      <tableStyleElement type="lastColumn" dxfId="32"/>
      <tableStyleElement type="firstRowStripe" dxfId="31"/>
      <tableStyleElement type="firstColumnStripe" dxfId="30"/>
    </tableStyle>
  </tableStyles>
  <colors>
    <mruColors>
      <color rgb="FF66FF33"/>
      <color rgb="FF00FF00"/>
      <color rgb="FF35FA26"/>
      <color rgb="FFB4A69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AdjustmentsTable" displayName="AdjustmentsTable" ref="A5:L20" totalsRowShown="0">
  <autoFilter ref="A5:L20"/>
  <tableColumns count="12">
    <tableColumn id="1" name="Job Id"/>
    <tableColumn id="2" name="Job Name"/>
    <tableColumn id="3" name="Overprint"/>
    <tableColumn id="4" name="Run"/>
    <tableColumn id="5" name="Bun Size" dataDxfId="7"/>
    <tableColumn id="6" name="Old Qty" dataDxfId="6"/>
    <tableColumn id="7" name="New Qty" dataDxfId="5"/>
    <tableColumn id="8" name="New Plt" dataDxfId="4"/>
    <tableColumn id="9" name="New Bun" dataDxfId="3"/>
    <tableColumn id="10" name="New Item" dataDxfId="2"/>
    <tableColumn id="11" name="Qty Change" dataDxfId="1">
      <calculatedColumnFormula xml:space="preserve"> $G6 - $F6</calculatedColumnFormula>
    </tableColumn>
    <tableColumn id="12" name="Bundles Change" dataDxfId="0">
      <calculatedColumnFormula xml:space="preserve"> ($G6 - $F6) / $E6</calculatedColumnFormula>
    </tableColumn>
  </tableColumns>
  <tableStyleInfo name="TableStyleLight5" showFirstColumn="0" showLastColumn="0" showRowStripes="1" showColumnStripes="0"/>
</table>
</file>

<file path=xl/tables/table2.xml><?xml version="1.0" encoding="utf-8"?>
<table xmlns="http://schemas.openxmlformats.org/spreadsheetml/2006/main" id="1" name="QuattroTable" displayName="QuattroTable" ref="A9:G10" totalsRowShown="0" headerRowDxfId="13" dataDxfId="12" totalsRowDxfId="28" tableBorderDxfId="29">
  <autoFilter ref="A9:G10"/>
  <tableColumns count="7">
    <tableColumn id="1" name="Run" dataDxfId="20" totalsRowDxfId="27"/>
    <tableColumn id="2" name="Pallets" dataDxfId="19" totalsRowDxfId="26">
      <calculatedColumnFormula>INT(QuattroTable[Quantity]/$B$5)</calculatedColumnFormula>
    </tableColumn>
    <tableColumn id="3" name="Rows" dataDxfId="18" totalsRowDxfId="25">
      <calculatedColumnFormula>INT((QuattroTable[Quantity]-(QuattroTable[Pallets]* $B$5))/$B$6)</calculatedColumnFormula>
    </tableColumn>
    <tableColumn id="4" name="Bundles" dataDxfId="17" totalsRowDxfId="24">
      <calculatedColumnFormula>INT((QuattroTable[Quantity] -((QuattroTable[Rows]*$B$6)+(QuattroTable[Pallets]*$B$5)))/ $B$7)</calculatedColumnFormula>
    </tableColumn>
    <tableColumn id="7" name="Items" dataDxfId="16" totalsRowDxfId="23">
      <calculatedColumnFormula>MOD(QuattroTable[Quantity],$B$7)</calculatedColumnFormula>
    </tableColumn>
    <tableColumn id="5" name="Quantity" dataDxfId="15" totalsRowDxfId="22" dataCellStyle="Comma"/>
    <tableColumn id="6" name="Total Bundles" dataDxfId="14" totalsRowDxfId="21" dataCellStyle="Comma">
      <calculatedColumnFormula xml:space="preserve"> QuattroTable[Quantity] / 200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 tint="0.39997558519241921"/>
    <pageSetUpPr fitToPage="1"/>
  </sheetPr>
  <dimension ref="A1"/>
  <sheetViews>
    <sheetView tabSelected="1" workbookViewId="0">
      <pane ySplit="1" topLeftCell="A2" activePane="bottomLeft" state="frozen"/>
      <selection activeCell="C26" sqref="C26"/>
      <selection pane="bottomLeft" activeCell="F23" sqref="F23"/>
    </sheetView>
  </sheetViews>
  <sheetFormatPr defaultRowHeight="14.4" x14ac:dyDescent="0.3"/>
  <sheetData/>
  <pageMargins left="0.7" right="0.7" top="0.75" bottom="0.75" header="0.3" footer="0.3"/>
  <pageSetup paperSize="9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39997558519241921"/>
    <pageSetUpPr fitToPage="1"/>
  </sheetPr>
  <dimension ref="A1:L20"/>
  <sheetViews>
    <sheetView zoomScaleNormal="100" workbookViewId="0">
      <pane ySplit="5" topLeftCell="A6" activePane="bottomLeft" state="frozen"/>
      <selection pane="bottomLeft" activeCell="A6" sqref="A6"/>
    </sheetView>
  </sheetViews>
  <sheetFormatPr defaultRowHeight="14.4" x14ac:dyDescent="0.3"/>
  <cols>
    <col min="1" max="1" width="12.77734375" customWidth="1"/>
    <col min="2" max="2" width="42.109375" bestFit="1" customWidth="1"/>
    <col min="3" max="3" width="32.88671875" bestFit="1" customWidth="1"/>
    <col min="4" max="4" width="6.5546875" bestFit="1" customWidth="1"/>
    <col min="5" max="5" width="8" bestFit="1" customWidth="1"/>
    <col min="6" max="6" width="7.33203125" bestFit="1" customWidth="1"/>
    <col min="7" max="7" width="8.21875" bestFit="1" customWidth="1"/>
    <col min="8" max="8" width="7.44140625" bestFit="1" customWidth="1"/>
    <col min="9" max="9" width="8.5546875" bestFit="1" customWidth="1"/>
    <col min="10" max="10" width="9.109375" bestFit="1" customWidth="1"/>
    <col min="11" max="11" width="10.77734375" bestFit="1" customWidth="1"/>
    <col min="12" max="12" width="14.5546875" bestFit="1" customWidth="1"/>
  </cols>
  <sheetData>
    <row r="1" spans="1:12" x14ac:dyDescent="0.3">
      <c r="A1" s="23" t="s">
        <v>14</v>
      </c>
    </row>
    <row r="2" spans="1:12" x14ac:dyDescent="0.3">
      <c r="A2" s="23" t="s">
        <v>58</v>
      </c>
    </row>
    <row r="3" spans="1:12" x14ac:dyDescent="0.3">
      <c r="A3" s="23" t="s">
        <v>59</v>
      </c>
    </row>
    <row r="5" spans="1:12" x14ac:dyDescent="0.3">
      <c r="A5" t="s">
        <v>15</v>
      </c>
      <c r="B5" t="s">
        <v>16</v>
      </c>
      <c r="C5" t="s">
        <v>51</v>
      </c>
      <c r="D5" t="s">
        <v>6</v>
      </c>
      <c r="E5" s="24" t="s">
        <v>17</v>
      </c>
      <c r="F5" s="24" t="s">
        <v>18</v>
      </c>
      <c r="G5" s="24" t="s">
        <v>19</v>
      </c>
      <c r="H5" s="24" t="s">
        <v>20</v>
      </c>
      <c r="I5" s="24" t="s">
        <v>21</v>
      </c>
      <c r="J5" s="24" t="s">
        <v>22</v>
      </c>
      <c r="K5" s="24" t="s">
        <v>23</v>
      </c>
      <c r="L5" s="24" t="s">
        <v>24</v>
      </c>
    </row>
    <row r="6" spans="1:12" x14ac:dyDescent="0.3">
      <c r="A6" t="s">
        <v>40</v>
      </c>
      <c r="B6" t="s">
        <v>41</v>
      </c>
      <c r="D6" t="s">
        <v>38</v>
      </c>
      <c r="E6" s="24" t="s">
        <v>25</v>
      </c>
      <c r="F6" s="26">
        <v>6377</v>
      </c>
      <c r="G6" s="26">
        <v>6378</v>
      </c>
      <c r="H6" s="26">
        <v>0</v>
      </c>
      <c r="I6" s="26">
        <v>25</v>
      </c>
      <c r="J6" s="26">
        <v>127</v>
      </c>
      <c r="K6" s="26">
        <f t="shared" ref="K6:K20" si="0" xml:space="preserve"> $G6 - $F6</f>
        <v>1</v>
      </c>
      <c r="L6" s="25">
        <f t="shared" ref="L6:L20" si="1" xml:space="preserve"> ($G6 - $F6) / $E6</f>
        <v>4.0000000000000001E-3</v>
      </c>
    </row>
    <row r="7" spans="1:12" x14ac:dyDescent="0.3">
      <c r="A7" t="s">
        <v>43</v>
      </c>
      <c r="B7" t="s">
        <v>44</v>
      </c>
      <c r="D7" t="s">
        <v>31</v>
      </c>
      <c r="E7" s="24" t="s">
        <v>29</v>
      </c>
      <c r="F7" s="26">
        <v>478</v>
      </c>
      <c r="G7" s="26">
        <v>477</v>
      </c>
      <c r="H7" s="26">
        <v>0</v>
      </c>
      <c r="I7" s="26">
        <v>1</v>
      </c>
      <c r="J7" s="26">
        <v>228</v>
      </c>
      <c r="K7" s="26">
        <f t="shared" si="0"/>
        <v>-1</v>
      </c>
      <c r="L7" s="25">
        <f t="shared" si="1"/>
        <v>-3.3333333333333335E-3</v>
      </c>
    </row>
    <row r="8" spans="1:12" x14ac:dyDescent="0.3">
      <c r="A8" t="s">
        <v>54</v>
      </c>
      <c r="B8" t="s">
        <v>52</v>
      </c>
      <c r="C8" t="s">
        <v>53</v>
      </c>
      <c r="D8" t="s">
        <v>30</v>
      </c>
      <c r="E8" s="24" t="s">
        <v>27</v>
      </c>
      <c r="F8" s="26">
        <v>9673</v>
      </c>
      <c r="G8" s="26">
        <v>9674</v>
      </c>
      <c r="H8" s="26">
        <v>0</v>
      </c>
      <c r="I8" s="26">
        <v>19</v>
      </c>
      <c r="J8" s="26">
        <v>173</v>
      </c>
      <c r="K8" s="26">
        <f t="shared" si="0"/>
        <v>1</v>
      </c>
      <c r="L8" s="25">
        <f t="shared" si="1"/>
        <v>2E-3</v>
      </c>
    </row>
    <row r="9" spans="1:12" x14ac:dyDescent="0.3">
      <c r="A9" t="s">
        <v>54</v>
      </c>
      <c r="B9" t="s">
        <v>52</v>
      </c>
      <c r="C9" t="s">
        <v>53</v>
      </c>
      <c r="D9" t="s">
        <v>32</v>
      </c>
      <c r="E9" s="24">
        <v>500</v>
      </c>
      <c r="F9" s="26">
        <v>2898</v>
      </c>
      <c r="G9" s="26">
        <v>0</v>
      </c>
      <c r="H9" s="26">
        <v>0</v>
      </c>
      <c r="I9" s="26">
        <v>0</v>
      </c>
      <c r="J9" s="26">
        <v>0</v>
      </c>
      <c r="K9" s="26">
        <f t="shared" si="0"/>
        <v>-2898</v>
      </c>
      <c r="L9" s="25">
        <f t="shared" si="1"/>
        <v>-5.7960000000000003</v>
      </c>
    </row>
    <row r="10" spans="1:12" x14ac:dyDescent="0.3">
      <c r="A10" t="s">
        <v>54</v>
      </c>
      <c r="B10" t="s">
        <v>52</v>
      </c>
      <c r="C10" t="s">
        <v>53</v>
      </c>
      <c r="D10" t="s">
        <v>33</v>
      </c>
      <c r="E10" s="24">
        <v>500</v>
      </c>
      <c r="F10" s="26">
        <v>1282</v>
      </c>
      <c r="G10" s="26">
        <v>0</v>
      </c>
      <c r="H10" s="26">
        <v>0</v>
      </c>
      <c r="I10" s="26">
        <v>0</v>
      </c>
      <c r="J10" s="26">
        <v>0</v>
      </c>
      <c r="K10" s="26">
        <f t="shared" si="0"/>
        <v>-1282</v>
      </c>
      <c r="L10" s="25">
        <f t="shared" si="1"/>
        <v>-2.5640000000000001</v>
      </c>
    </row>
    <row r="11" spans="1:12" x14ac:dyDescent="0.3">
      <c r="A11" t="s">
        <v>54</v>
      </c>
      <c r="B11" t="s">
        <v>52</v>
      </c>
      <c r="C11" t="s">
        <v>53</v>
      </c>
      <c r="D11" t="s">
        <v>34</v>
      </c>
      <c r="E11" s="24">
        <v>500</v>
      </c>
      <c r="F11" s="26">
        <v>2804</v>
      </c>
      <c r="G11" s="26">
        <v>0</v>
      </c>
      <c r="H11" s="26">
        <v>0</v>
      </c>
      <c r="I11" s="26">
        <v>0</v>
      </c>
      <c r="J11" s="26">
        <v>0</v>
      </c>
      <c r="K11" s="26">
        <f t="shared" si="0"/>
        <v>-2804</v>
      </c>
      <c r="L11" s="25">
        <f t="shared" si="1"/>
        <v>-5.6079999999999997</v>
      </c>
    </row>
    <row r="12" spans="1:12" x14ac:dyDescent="0.3">
      <c r="A12" t="s">
        <v>54</v>
      </c>
      <c r="B12" t="s">
        <v>52</v>
      </c>
      <c r="C12" t="s">
        <v>53</v>
      </c>
      <c r="D12" t="s">
        <v>35</v>
      </c>
      <c r="E12" s="24">
        <v>500</v>
      </c>
      <c r="F12" s="26">
        <v>4163</v>
      </c>
      <c r="G12" s="26">
        <v>0</v>
      </c>
      <c r="H12" s="26">
        <v>0</v>
      </c>
      <c r="I12" s="26">
        <v>0</v>
      </c>
      <c r="J12" s="26">
        <v>0</v>
      </c>
      <c r="K12" s="26">
        <f t="shared" si="0"/>
        <v>-4163</v>
      </c>
      <c r="L12" s="25">
        <f t="shared" si="1"/>
        <v>-8.3260000000000005</v>
      </c>
    </row>
    <row r="13" spans="1:12" x14ac:dyDescent="0.3">
      <c r="A13" t="s">
        <v>54</v>
      </c>
      <c r="B13" t="s">
        <v>52</v>
      </c>
      <c r="C13" t="s">
        <v>53</v>
      </c>
      <c r="D13" t="s">
        <v>36</v>
      </c>
      <c r="E13" s="24">
        <v>500</v>
      </c>
      <c r="F13" s="26">
        <v>5982</v>
      </c>
      <c r="G13" s="26">
        <v>0</v>
      </c>
      <c r="H13" s="26">
        <v>0</v>
      </c>
      <c r="I13" s="26">
        <v>0</v>
      </c>
      <c r="J13" s="26">
        <v>0</v>
      </c>
      <c r="K13" s="26">
        <f t="shared" si="0"/>
        <v>-5982</v>
      </c>
      <c r="L13" s="25">
        <f t="shared" si="1"/>
        <v>-11.964</v>
      </c>
    </row>
    <row r="14" spans="1:12" x14ac:dyDescent="0.3">
      <c r="A14" t="s">
        <v>54</v>
      </c>
      <c r="B14" t="s">
        <v>52</v>
      </c>
      <c r="C14" t="s">
        <v>53</v>
      </c>
      <c r="D14" t="s">
        <v>42</v>
      </c>
      <c r="E14" s="24">
        <v>500</v>
      </c>
      <c r="F14" s="26">
        <v>10039</v>
      </c>
      <c r="G14" s="26">
        <v>0</v>
      </c>
      <c r="H14" s="26">
        <v>0</v>
      </c>
      <c r="I14" s="26">
        <v>0</v>
      </c>
      <c r="J14" s="26">
        <v>0</v>
      </c>
      <c r="K14" s="26">
        <f t="shared" si="0"/>
        <v>-10039</v>
      </c>
      <c r="L14" s="25">
        <f t="shared" si="1"/>
        <v>-20.077999999999999</v>
      </c>
    </row>
    <row r="15" spans="1:12" x14ac:dyDescent="0.3">
      <c r="A15" t="s">
        <v>54</v>
      </c>
      <c r="B15" t="s">
        <v>52</v>
      </c>
      <c r="C15" t="s">
        <v>53</v>
      </c>
      <c r="D15" t="s">
        <v>37</v>
      </c>
      <c r="E15" s="24">
        <v>500</v>
      </c>
      <c r="F15" s="26">
        <v>10129</v>
      </c>
      <c r="G15" s="26">
        <v>0</v>
      </c>
      <c r="H15" s="26">
        <v>0</v>
      </c>
      <c r="I15" s="26">
        <v>0</v>
      </c>
      <c r="J15" s="26">
        <v>0</v>
      </c>
      <c r="K15" s="26">
        <f t="shared" si="0"/>
        <v>-10129</v>
      </c>
      <c r="L15" s="25">
        <f t="shared" si="1"/>
        <v>-20.257999999999999</v>
      </c>
    </row>
    <row r="16" spans="1:12" x14ac:dyDescent="0.3">
      <c r="A16" t="s">
        <v>45</v>
      </c>
      <c r="B16" t="s">
        <v>46</v>
      </c>
      <c r="D16" t="s">
        <v>32</v>
      </c>
      <c r="E16" s="24" t="s">
        <v>28</v>
      </c>
      <c r="F16" s="26">
        <v>12217</v>
      </c>
      <c r="G16" s="26">
        <v>12216</v>
      </c>
      <c r="H16" s="26">
        <v>0</v>
      </c>
      <c r="I16" s="26">
        <v>81</v>
      </c>
      <c r="J16" s="26">
        <v>67</v>
      </c>
      <c r="K16" s="26">
        <f t="shared" si="0"/>
        <v>-1</v>
      </c>
      <c r="L16" s="25">
        <f t="shared" si="1"/>
        <v>-6.6666666666666671E-3</v>
      </c>
    </row>
    <row r="17" spans="1:12" x14ac:dyDescent="0.3">
      <c r="A17" t="s">
        <v>45</v>
      </c>
      <c r="B17" t="s">
        <v>46</v>
      </c>
      <c r="D17" t="s">
        <v>33</v>
      </c>
      <c r="E17" s="24">
        <v>150</v>
      </c>
      <c r="F17" s="26">
        <v>22337</v>
      </c>
      <c r="G17" s="26">
        <v>0</v>
      </c>
      <c r="H17" s="26">
        <v>0</v>
      </c>
      <c r="I17" s="26">
        <v>0</v>
      </c>
      <c r="J17" s="26">
        <v>0</v>
      </c>
      <c r="K17" s="26">
        <f t="shared" si="0"/>
        <v>-22337</v>
      </c>
      <c r="L17" s="25">
        <f t="shared" si="1"/>
        <v>-148.91333333333333</v>
      </c>
    </row>
    <row r="18" spans="1:12" x14ac:dyDescent="0.3">
      <c r="A18" t="s">
        <v>47</v>
      </c>
      <c r="B18" t="s">
        <v>48</v>
      </c>
      <c r="D18" t="s">
        <v>31</v>
      </c>
      <c r="E18" s="24" t="s">
        <v>26</v>
      </c>
      <c r="F18" s="26">
        <v>0</v>
      </c>
      <c r="G18" s="26">
        <v>68278</v>
      </c>
      <c r="H18" s="26">
        <v>2</v>
      </c>
      <c r="I18" s="26">
        <v>89</v>
      </c>
      <c r="J18" s="26">
        <v>78</v>
      </c>
      <c r="K18" s="26">
        <f t="shared" si="0"/>
        <v>68278</v>
      </c>
      <c r="L18" s="25">
        <f t="shared" si="1"/>
        <v>341.39</v>
      </c>
    </row>
    <row r="19" spans="1:12" x14ac:dyDescent="0.3">
      <c r="A19" t="s">
        <v>49</v>
      </c>
      <c r="B19" t="s">
        <v>50</v>
      </c>
      <c r="D19" t="s">
        <v>39</v>
      </c>
      <c r="E19" s="24" t="s">
        <v>28</v>
      </c>
      <c r="F19" s="26">
        <v>493</v>
      </c>
      <c r="G19" s="26">
        <v>494</v>
      </c>
      <c r="H19" s="26">
        <v>0</v>
      </c>
      <c r="I19" s="26">
        <v>3</v>
      </c>
      <c r="J19" s="26">
        <v>44</v>
      </c>
      <c r="K19" s="26">
        <f t="shared" si="0"/>
        <v>1</v>
      </c>
      <c r="L19" s="25">
        <f t="shared" si="1"/>
        <v>6.6666666666666671E-3</v>
      </c>
    </row>
    <row r="20" spans="1:12" x14ac:dyDescent="0.3">
      <c r="A20" t="s">
        <v>55</v>
      </c>
      <c r="B20" t="s">
        <v>56</v>
      </c>
      <c r="C20" t="s">
        <v>57</v>
      </c>
      <c r="D20" t="s">
        <v>39</v>
      </c>
      <c r="E20" s="24" t="s">
        <v>27</v>
      </c>
      <c r="F20" s="26">
        <v>2508</v>
      </c>
      <c r="G20" s="26">
        <v>2507</v>
      </c>
      <c r="H20" s="26">
        <v>0</v>
      </c>
      <c r="I20" s="26">
        <v>5</v>
      </c>
      <c r="J20" s="26">
        <v>7</v>
      </c>
      <c r="K20" s="26">
        <f t="shared" si="0"/>
        <v>-1</v>
      </c>
      <c r="L20" s="25">
        <f t="shared" si="1"/>
        <v>-2E-3</v>
      </c>
    </row>
  </sheetData>
  <pageMargins left="0.7" right="0.7" top="0.75" bottom="0.75" header="0.3" footer="0.3"/>
  <pageSetup paperSize="9" scale="77" fitToHeight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-0.249977111117893"/>
    <pageSetUpPr fitToPage="1"/>
  </sheetPr>
  <dimension ref="A1:G10"/>
  <sheetViews>
    <sheetView zoomScale="85" zoomScaleNormal="85" workbookViewId="0">
      <selection activeCell="B3" sqref="B3"/>
    </sheetView>
  </sheetViews>
  <sheetFormatPr defaultRowHeight="14.4" x14ac:dyDescent="0.3"/>
  <cols>
    <col min="1" max="3" width="12.77734375" style="7" customWidth="1"/>
    <col min="4" max="5" width="13.77734375" style="7" customWidth="1"/>
    <col min="6" max="6" width="19.6640625" style="7" customWidth="1"/>
    <col min="7" max="7" width="21.109375" style="7" customWidth="1"/>
    <col min="8" max="10" width="8.88671875" style="7"/>
    <col min="11" max="11" width="8.109375" style="7" customWidth="1"/>
    <col min="12" max="16384" width="8.88671875" style="7"/>
  </cols>
  <sheetData>
    <row r="1" spans="1:7" x14ac:dyDescent="0.3">
      <c r="A1" s="3" t="s">
        <v>12</v>
      </c>
      <c r="B1" s="4" t="s">
        <v>60</v>
      </c>
      <c r="C1" s="5"/>
      <c r="D1" s="5"/>
      <c r="E1" s="5"/>
      <c r="F1" s="5"/>
      <c r="G1" s="6"/>
    </row>
    <row r="2" spans="1:7" x14ac:dyDescent="0.3">
      <c r="A2" s="3" t="s">
        <v>11</v>
      </c>
      <c r="B2" s="4" t="s">
        <v>60</v>
      </c>
      <c r="C2" s="5"/>
      <c r="D2" s="5"/>
      <c r="E2" s="5"/>
      <c r="F2" s="5"/>
      <c r="G2" s="6"/>
    </row>
    <row r="3" spans="1:7" x14ac:dyDescent="0.3">
      <c r="A3" s="3" t="s">
        <v>1</v>
      </c>
      <c r="B3" s="1"/>
      <c r="C3" s="5"/>
      <c r="D3" s="5"/>
      <c r="E3" s="5"/>
      <c r="F3" s="5"/>
      <c r="G3" s="6"/>
    </row>
    <row r="4" spans="1:7" x14ac:dyDescent="0.3">
      <c r="A4" s="3" t="s">
        <v>2</v>
      </c>
      <c r="B4" s="4" t="s">
        <v>60</v>
      </c>
      <c r="C4" s="5"/>
      <c r="D4" s="5"/>
      <c r="E4" s="5"/>
      <c r="F4" s="5"/>
      <c r="G4" s="6"/>
    </row>
    <row r="5" spans="1:7" x14ac:dyDescent="0.3">
      <c r="A5" s="3" t="s">
        <v>3</v>
      </c>
      <c r="B5" s="2"/>
      <c r="C5" s="5"/>
      <c r="D5" s="5"/>
      <c r="E5" s="5"/>
      <c r="F5" s="5"/>
      <c r="G5" s="6"/>
    </row>
    <row r="6" spans="1:7" x14ac:dyDescent="0.3">
      <c r="A6" s="3" t="s">
        <v>4</v>
      </c>
      <c r="B6" s="2"/>
      <c r="C6" s="5"/>
      <c r="D6" s="5"/>
      <c r="E6" s="5"/>
      <c r="F6" s="5"/>
      <c r="G6" s="6"/>
    </row>
    <row r="7" spans="1:7" x14ac:dyDescent="0.3">
      <c r="A7" s="3" t="s">
        <v>5</v>
      </c>
      <c r="B7" s="17"/>
      <c r="C7" s="5"/>
      <c r="D7" s="5"/>
      <c r="E7" s="5"/>
      <c r="F7" s="5"/>
      <c r="G7" s="6"/>
    </row>
    <row r="8" spans="1:7" s="9" customFormat="1" ht="17.100000000000001" customHeight="1" x14ac:dyDescent="0.3">
      <c r="A8" s="8"/>
      <c r="B8" s="8"/>
      <c r="C8" s="8"/>
      <c r="D8" s="8"/>
      <c r="E8" s="8"/>
      <c r="F8" s="8"/>
      <c r="G8" s="8"/>
    </row>
    <row r="9" spans="1:7" s="15" customFormat="1" ht="17.100000000000001" customHeight="1" x14ac:dyDescent="0.3">
      <c r="A9" s="10" t="s">
        <v>6</v>
      </c>
      <c r="B9" s="11" t="s">
        <v>7</v>
      </c>
      <c r="C9" s="11" t="s">
        <v>8</v>
      </c>
      <c r="D9" s="12" t="s">
        <v>9</v>
      </c>
      <c r="E9" s="11" t="s">
        <v>13</v>
      </c>
      <c r="F9" s="13" t="s">
        <v>0</v>
      </c>
      <c r="G9" s="14" t="s">
        <v>10</v>
      </c>
    </row>
    <row r="10" spans="1:7" s="9" customFormat="1" ht="17.100000000000001" customHeight="1" x14ac:dyDescent="0.3">
      <c r="A10" s="19"/>
      <c r="B10" s="20"/>
      <c r="C10" s="20"/>
      <c r="D10" s="22"/>
      <c r="E10" s="18"/>
      <c r="F10" s="21"/>
      <c r="G10" s="16"/>
    </row>
  </sheetData>
  <sheetProtection sheet="1" objects="1" scenarios="1" selectLockedCells="1"/>
  <conditionalFormatting sqref="A10:F10">
    <cfRule type="expression" dxfId="11" priority="15">
      <formula>MOD(ROW(), 2)=0</formula>
    </cfRule>
    <cfRule type="expression" dxfId="10" priority="16">
      <formula>MOD(ROW(), 2)=1</formula>
    </cfRule>
  </conditionalFormatting>
  <conditionalFormatting sqref="G10">
    <cfRule type="expression" dxfId="9" priority="11">
      <formula>MOD(ROW(), 2)=0</formula>
    </cfRule>
    <cfRule type="expression" dxfId="8" priority="12">
      <formula>MOD(ROW(), 2)=1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81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Job Sheets</vt:lpstr>
      <vt:lpstr>Adjustments</vt:lpstr>
      <vt:lpstr>Quattro</vt:lpstr>
      <vt:lpstr>BundleSize</vt:lpstr>
      <vt:lpstr>Comments</vt:lpstr>
      <vt:lpstr>JobId</vt:lpstr>
      <vt:lpstr>JobName</vt:lpstr>
      <vt:lpstr>PalletSize</vt:lpstr>
      <vt:lpstr>Report</vt:lpstr>
      <vt:lpstr>RowSize</vt:lpstr>
    </vt:vector>
  </TitlesOfParts>
  <Company>Salmat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Heldoorn</dc:creator>
  <cp:lastModifiedBy>Rob</cp:lastModifiedBy>
  <cp:lastPrinted>2015-03-08T11:57:13Z</cp:lastPrinted>
  <dcterms:created xsi:type="dcterms:W3CDTF">2011-06-28T01:28:33Z</dcterms:created>
  <dcterms:modified xsi:type="dcterms:W3CDTF">2015-03-08T13:17:13Z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Adjustments_1" visible="true" label="Adjustments" imageMso="RecurrenceEdit" onAction="Adjustments"/>
      </mso:documentControls>
    </mso:qat>
  </mso:ribbon>
</mso:customUI>
</file>